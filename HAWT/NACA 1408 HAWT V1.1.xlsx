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momos\OneDrive\Desktop\HAWT\"/>
    </mc:Choice>
  </mc:AlternateContent>
  <xr:revisionPtr revIDLastSave="0" documentId="13_ncr:1_{4602A466-FDAD-45C7-80E9-B6C12256B3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G8" i="1"/>
  <c r="F8" i="1"/>
  <c r="E9" i="1"/>
  <c r="H10" i="1"/>
  <c r="E10" i="1" s="1"/>
  <c r="H11" i="1"/>
  <c r="E11" i="1" s="1"/>
  <c r="H12" i="1"/>
  <c r="E12" i="1" s="1"/>
  <c r="H13" i="1"/>
  <c r="E13" i="1" s="1"/>
  <c r="H14" i="1"/>
  <c r="E14" i="1" s="1"/>
  <c r="H15" i="1"/>
  <c r="E15" i="1" s="1"/>
  <c r="H16" i="1"/>
  <c r="E16" i="1" s="1"/>
  <c r="H17" i="1"/>
  <c r="E17" i="1" s="1"/>
  <c r="H8" i="1"/>
  <c r="E8" i="1" s="1"/>
  <c r="D8" i="1" s="1"/>
  <c r="D11" i="1" l="1"/>
  <c r="G11" i="1" s="1"/>
  <c r="F11" i="1"/>
  <c r="D14" i="1"/>
  <c r="G14" i="1" s="1"/>
  <c r="F14" i="1"/>
  <c r="D12" i="1"/>
  <c r="G12" i="1" s="1"/>
  <c r="F12" i="1"/>
  <c r="D10" i="1"/>
  <c r="G10" i="1" s="1"/>
  <c r="F10" i="1"/>
  <c r="D17" i="1"/>
  <c r="G17" i="1" s="1"/>
  <c r="F17" i="1"/>
  <c r="D9" i="1"/>
  <c r="G9" i="1" s="1"/>
  <c r="F9" i="1"/>
  <c r="F16" i="1"/>
  <c r="D16" i="1"/>
  <c r="G16" i="1" s="1"/>
  <c r="F13" i="1"/>
  <c r="D13" i="1"/>
  <c r="G13" i="1" s="1"/>
  <c r="F15" i="1"/>
  <c r="D15" i="1"/>
  <c r="G15" i="1" s="1"/>
</calcChain>
</file>

<file path=xl/sharedStrings.xml><?xml version="1.0" encoding="utf-8"?>
<sst xmlns="http://schemas.openxmlformats.org/spreadsheetml/2006/main" count="15" uniqueCount="15">
  <si>
    <t>Wind Speed</t>
  </si>
  <si>
    <t>Blade length (R)</t>
  </si>
  <si>
    <r>
      <t>Lift coefficient (C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)</t>
    </r>
  </si>
  <si>
    <t>Kinematic Viscosity</t>
  </si>
  <si>
    <r>
      <t xml:space="preserve">Fraction of Rotor
Radius
</t>
    </r>
    <r>
      <rPr>
        <i/>
        <sz val="12"/>
        <color theme="1"/>
        <rFont val="Calibri"/>
        <family val="2"/>
        <scheme val="minor"/>
      </rPr>
      <t>r/R</t>
    </r>
  </si>
  <si>
    <t xml:space="preserve">Chord </t>
  </si>
  <si>
    <r>
      <t xml:space="preserve">Angle of rel. wind (deg)
</t>
    </r>
    <r>
      <rPr>
        <b/>
        <sz val="12"/>
        <color theme="1"/>
        <rFont val="Lato Thin"/>
        <family val="2"/>
      </rPr>
      <t>ɸ</t>
    </r>
    <r>
      <rPr>
        <vertAlign val="subscript"/>
        <sz val="12"/>
        <color theme="1"/>
        <rFont val="Italic"/>
      </rPr>
      <t>i</t>
    </r>
  </si>
  <si>
    <r>
      <t xml:space="preserve">Twist Angle (deg)
</t>
    </r>
    <r>
      <rPr>
        <sz val="12"/>
        <color theme="1"/>
        <rFont val="Lato Thin"/>
        <family val="2"/>
      </rPr>
      <t>ɵ</t>
    </r>
    <r>
      <rPr>
        <vertAlign val="subscript"/>
        <sz val="12"/>
        <color theme="1"/>
        <rFont val="Italic"/>
      </rPr>
      <t>T,i</t>
    </r>
  </si>
  <si>
    <t>Tip Speed Ratio (TSR)</t>
  </si>
  <si>
    <t>NO. of Rotor Blades (B)</t>
  </si>
  <si>
    <t>NACA 1408</t>
  </si>
  <si>
    <t xml:space="preserve">Air Foil </t>
  </si>
  <si>
    <t>Reynlods 
Number (Re)</t>
  </si>
  <si>
    <t>Angle of Attack (AOA)
for MAX Glide Ratio</t>
  </si>
  <si>
    <t xml:space="preserve">Tip Speed
Ratio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</si>
</sst>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Lato Thin"/>
      <family val="2"/>
    </font>
    <font>
      <vertAlign val="subscript"/>
      <sz val="12"/>
      <color theme="1"/>
      <name val="Italic"/>
    </font>
    <font>
      <sz val="12"/>
      <color theme="1"/>
      <name val="Lato Thin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2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1" fontId="0" fillId="2" borderId="1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228600</xdr:colOff>
      <xdr:row>0</xdr:row>
      <xdr:rowOff>106680</xdr:rowOff>
    </xdr:from>
    <xdr:to>
      <xdr:col>14</xdr:col>
      <xdr:colOff>587632</xdr:colOff>
      <xdr:row>5</xdr:row>
      <xdr:rowOff>143167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B5852A5-0C4C-4055-9E3F-F6DE30129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8580" y="106680"/>
          <a:ext cx="2797432" cy="1583347"/>
        </a:xfrm>
        <a:prstGeom prst="rect">
          <a:avLst/>
        </a:prstGeom>
      </xdr:spPr>
    </xdr:pic>
    <xdr:clientData/>
  </xdr:twoCellAnchor>
  <xdr:twoCellAnchor editAs="oneCell">
    <xdr:from>
      <xdr:col>10</xdr:col>
      <xdr:colOff>213360</xdr:colOff>
      <xdr:row>5</xdr:row>
      <xdr:rowOff>274320</xdr:rowOff>
    </xdr:from>
    <xdr:to>
      <xdr:col>15</xdr:col>
      <xdr:colOff>22860</xdr:colOff>
      <xdr:row>11</xdr:row>
      <xdr:rowOff>162511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DFD6102-387C-459A-90AE-58D0F422F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9500" y="1821180"/>
          <a:ext cx="2857500" cy="1785571"/>
        </a:xfrm>
        <a:prstGeom prst="rect">
          <a:avLst/>
        </a:prstGeom>
      </xdr:spPr>
    </xdr:pic>
    <xdr:clientData/>
  </xdr:twoCellAnchor>
  <xdr:twoCellAnchor editAs="oneCell">
    <xdr:from>
      <xdr:col>10</xdr:col>
      <xdr:colOff>68581</xdr:colOff>
      <xdr:row>12</xdr:row>
      <xdr:rowOff>7620</xdr:rowOff>
    </xdr:from>
    <xdr:to>
      <xdr:col>15</xdr:col>
      <xdr:colOff>422063</xdr:colOff>
      <xdr:row>16</xdr:row>
      <xdr:rowOff>85148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BC4A73-F63A-4AC2-BF0A-D4B36C672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4721" y="3634740"/>
          <a:ext cx="3401482" cy="809048"/>
        </a:xfrm>
        <a:prstGeom prst="rect">
          <a:avLst/>
        </a:prstGeom>
      </xdr:spPr>
    </xdr:pic>
    <xdr:clientData/>
  </xdr:twoCellAnchor>
  <xdr:twoCellAnchor editAs="oneCell">
    <xdr:from>
      <xdr:col>0</xdr:col>
      <xdr:colOff>594360</xdr:colOff>
      <xdr:row>17</xdr:row>
      <xdr:rowOff>163965</xdr:rowOff>
    </xdr:from>
    <xdr:to>
      <xdr:col>7</xdr:col>
      <xdr:colOff>327660</xdr:colOff>
      <xdr:row>31</xdr:row>
      <xdr:rowOff>108603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5C83E8C-C642-4082-AD3B-006870E50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" y="4705485"/>
          <a:ext cx="4930140" cy="2504958"/>
        </a:xfrm>
        <a:prstGeom prst="rect">
          <a:avLst/>
        </a:prstGeom>
      </xdr:spPr>
    </xdr:pic>
    <xdr:clientData/>
  </xdr:twoCellAnchor>
  <xdr:twoCellAnchor editAs="oneCell">
    <xdr:from>
      <xdr:col>7</xdr:col>
      <xdr:colOff>327660</xdr:colOff>
      <xdr:row>18</xdr:row>
      <xdr:rowOff>0</xdr:rowOff>
    </xdr:from>
    <xdr:to>
      <xdr:col>15</xdr:col>
      <xdr:colOff>167640</xdr:colOff>
      <xdr:row>31</xdr:row>
      <xdr:rowOff>81465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48C624F-0DC7-4590-8486-3AF13F621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0" y="4724400"/>
          <a:ext cx="4907280" cy="2458905"/>
        </a:xfrm>
        <a:prstGeom prst="rect">
          <a:avLst/>
        </a:prstGeom>
      </xdr:spPr>
    </xdr:pic>
    <xdr:clientData/>
  </xdr:twoCellAnchor>
  <xdr:twoCellAnchor editAs="oneCell">
    <xdr:from>
      <xdr:col>15</xdr:col>
      <xdr:colOff>297180</xdr:colOff>
      <xdr:row>18</xdr:row>
      <xdr:rowOff>45720</xdr:rowOff>
    </xdr:from>
    <xdr:to>
      <xdr:col>19</xdr:col>
      <xdr:colOff>487680</xdr:colOff>
      <xdr:row>31</xdr:row>
      <xdr:rowOff>108278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A6BFFB8-8201-4BCD-A038-91E0C08DC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1320" y="4770120"/>
          <a:ext cx="2628900" cy="2439998"/>
        </a:xfrm>
        <a:prstGeom prst="rect">
          <a:avLst/>
        </a:prstGeom>
      </xdr:spPr>
    </xdr:pic>
    <xdr:clientData/>
  </xdr:twoCellAnchor>
  <xdr:twoCellAnchor editAs="oneCell">
    <xdr:from>
      <xdr:col>15</xdr:col>
      <xdr:colOff>213359</xdr:colOff>
      <xdr:row>4</xdr:row>
      <xdr:rowOff>91440</xdr:rowOff>
    </xdr:from>
    <xdr:to>
      <xdr:col>21</xdr:col>
      <xdr:colOff>92350</xdr:colOff>
      <xdr:row>8</xdr:row>
      <xdr:rowOff>7620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731DDE8-BBC3-4A00-A400-2EF9044ED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7499" y="1158240"/>
          <a:ext cx="3536591" cy="1744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7"/>
  <sheetViews>
    <sheetView tabSelected="1" topLeftCell="A5" workbookViewId="0">
      <selection activeCell="I18" sqref="I18"/>
    </sheetView>
  </sheetViews>
  <sheetFormatPr defaultRowHeight="14.4" x14ac:dyDescent="0.3"/>
  <cols>
    <col min="2" max="2" width="9.109375" customWidth="1"/>
    <col min="3" max="3" width="12.5546875" customWidth="1"/>
    <col min="6" max="6" width="13.77734375" customWidth="1"/>
    <col min="7" max="7" width="13.6640625" customWidth="1"/>
    <col min="8" max="8" width="10.44140625" customWidth="1"/>
    <col min="9" max="9" width="10.109375" customWidth="1"/>
  </cols>
  <sheetData>
    <row r="2" spans="2:10" ht="22.8" customHeight="1" x14ac:dyDescent="0.3">
      <c r="B2" s="21" t="s">
        <v>8</v>
      </c>
      <c r="C2" s="21"/>
      <c r="D2" s="21"/>
      <c r="E2" s="9">
        <v>9</v>
      </c>
      <c r="F2" s="21" t="s">
        <v>0</v>
      </c>
      <c r="G2" s="21"/>
      <c r="H2" s="21"/>
      <c r="I2" s="9">
        <v>5</v>
      </c>
      <c r="J2" s="2"/>
    </row>
    <row r="3" spans="2:10" ht="24" customHeight="1" x14ac:dyDescent="0.3">
      <c r="B3" s="21" t="s">
        <v>9</v>
      </c>
      <c r="C3" s="21"/>
      <c r="D3" s="21"/>
      <c r="E3" s="11">
        <v>3</v>
      </c>
      <c r="F3" s="21" t="s">
        <v>3</v>
      </c>
      <c r="G3" s="21"/>
      <c r="H3" s="21"/>
      <c r="I3" s="18">
        <v>1.4800000000000001E-5</v>
      </c>
      <c r="J3" s="2"/>
    </row>
    <row r="4" spans="2:10" ht="22.8" customHeight="1" x14ac:dyDescent="0.3">
      <c r="B4" s="21" t="s">
        <v>1</v>
      </c>
      <c r="C4" s="21"/>
      <c r="D4" s="21"/>
      <c r="E4" s="12">
        <v>1</v>
      </c>
      <c r="F4" s="19" t="s">
        <v>2</v>
      </c>
      <c r="G4" s="20"/>
      <c r="H4" s="20"/>
      <c r="I4" s="9">
        <v>0.62</v>
      </c>
      <c r="J4" s="2"/>
    </row>
    <row r="5" spans="2:10" ht="37.799999999999997" customHeight="1" x14ac:dyDescent="0.3">
      <c r="B5" s="22" t="s">
        <v>13</v>
      </c>
      <c r="C5" s="21"/>
      <c r="D5" s="21"/>
      <c r="E5" s="9">
        <v>4</v>
      </c>
      <c r="F5" s="21" t="s">
        <v>11</v>
      </c>
      <c r="G5" s="21"/>
      <c r="H5" s="21"/>
      <c r="I5" s="13" t="s">
        <v>10</v>
      </c>
      <c r="J5" s="2"/>
    </row>
    <row r="6" spans="2:10" ht="25.2" customHeight="1" x14ac:dyDescent="0.3">
      <c r="B6" s="3"/>
      <c r="C6" s="4"/>
      <c r="D6" s="4"/>
      <c r="E6" s="4"/>
      <c r="F6" s="4"/>
      <c r="G6" s="4"/>
      <c r="H6" s="4"/>
      <c r="I6" s="4"/>
      <c r="J6" s="2"/>
    </row>
    <row r="7" spans="2:10" ht="66.599999999999994" customHeight="1" x14ac:dyDescent="0.3">
      <c r="B7" s="2"/>
      <c r="C7" s="14" t="s">
        <v>4</v>
      </c>
      <c r="D7" s="15" t="s">
        <v>5</v>
      </c>
      <c r="E7" s="15" t="s">
        <v>6</v>
      </c>
      <c r="F7" s="15" t="s">
        <v>7</v>
      </c>
      <c r="G7" s="16" t="s">
        <v>12</v>
      </c>
      <c r="H7" s="16" t="s">
        <v>14</v>
      </c>
      <c r="I7" s="4"/>
      <c r="J7" s="2"/>
    </row>
    <row r="8" spans="2:10" x14ac:dyDescent="0.3">
      <c r="B8" s="17">
        <v>1</v>
      </c>
      <c r="C8" s="1">
        <v>0.1</v>
      </c>
      <c r="D8" s="5">
        <f>8*3.14*C8*SIN((3.14*E8)/180)/(3*$E$3*$I$4*H8)</f>
        <v>0.29773229931737411</v>
      </c>
      <c r="E8" s="6">
        <f>(180*ATAN((2)/(3*H8))/3.14)</f>
        <v>36.547383332791298</v>
      </c>
      <c r="F8" s="6">
        <f>(E8-$E$5)</f>
        <v>32.547383332791298</v>
      </c>
      <c r="G8" s="6">
        <f>(1.293*$I$2*D8)/0.0000186</f>
        <v>103485.98468208728</v>
      </c>
      <c r="H8" s="7">
        <f>($E$2*C8)</f>
        <v>0.9</v>
      </c>
    </row>
    <row r="9" spans="2:10" x14ac:dyDescent="0.3">
      <c r="B9" s="17">
        <v>2</v>
      </c>
      <c r="C9" s="1">
        <v>0.2</v>
      </c>
      <c r="D9" s="5">
        <f>8*3.14*C9*SIN((3.14*E9)/180)/(3*$E$3*$I$4*H9)</f>
        <v>0.17372633648523855</v>
      </c>
      <c r="E9" s="6">
        <f>(180*ATAN((2)/(3*H9))/3.14)</f>
        <v>20.333445019735429</v>
      </c>
      <c r="F9" s="8">
        <f>(E9-$E$5)</f>
        <v>16.333445019735429</v>
      </c>
      <c r="G9" s="6">
        <f t="shared" ref="G9:G17" si="0">(1.293*$I$2*D9)/0.0000186</f>
        <v>60383.912117046624</v>
      </c>
      <c r="H9" s="7">
        <f>($E$2*C9)</f>
        <v>1.8</v>
      </c>
    </row>
    <row r="10" spans="2:10" x14ac:dyDescent="0.3">
      <c r="B10" s="17">
        <v>3</v>
      </c>
      <c r="C10" s="1">
        <v>0.3</v>
      </c>
      <c r="D10" s="5">
        <f t="shared" ref="D10:D17" si="1">8*3.14*C10*SIN((3.14*E10)/180)/(3*$E$3*$I$4*H10)</f>
        <v>0.11990494810998542</v>
      </c>
      <c r="E10" s="6">
        <f t="shared" ref="E10:E17" si="2">(180*ATAN((2)/(3*H10))/3.14)</f>
        <v>13.876721344841215</v>
      </c>
      <c r="F10" s="6">
        <f t="shared" ref="F10:F17" si="3">(E10-$E$5)</f>
        <v>9.876721344841215</v>
      </c>
      <c r="G10" s="6">
        <f t="shared" si="0"/>
        <v>41676.639222099766</v>
      </c>
      <c r="H10" s="7">
        <f t="shared" ref="H9:H17" si="4">($E$2*C10)</f>
        <v>2.6999999999999997</v>
      </c>
    </row>
    <row r="11" spans="2:10" x14ac:dyDescent="0.3">
      <c r="B11" s="17">
        <v>4</v>
      </c>
      <c r="C11" s="1">
        <v>0.4</v>
      </c>
      <c r="D11" s="5">
        <f t="shared" si="1"/>
        <v>9.1080888406602237E-2</v>
      </c>
      <c r="E11" s="6">
        <f t="shared" si="2"/>
        <v>10.496798441798454</v>
      </c>
      <c r="F11" s="8">
        <f t="shared" si="3"/>
        <v>6.4967984417984539</v>
      </c>
      <c r="G11" s="6">
        <f t="shared" si="0"/>
        <v>31657.953954230292</v>
      </c>
      <c r="H11" s="7">
        <f t="shared" si="4"/>
        <v>3.6</v>
      </c>
    </row>
    <row r="12" spans="2:10" x14ac:dyDescent="0.3">
      <c r="B12" s="17">
        <v>5</v>
      </c>
      <c r="C12" s="1">
        <v>0.5</v>
      </c>
      <c r="D12" s="5">
        <f t="shared" si="1"/>
        <v>7.3303511879077951E-2</v>
      </c>
      <c r="E12" s="6">
        <f t="shared" si="2"/>
        <v>8.4312433025198885</v>
      </c>
      <c r="F12" s="6">
        <f t="shared" si="3"/>
        <v>4.4312433025198885</v>
      </c>
      <c r="G12" s="6">
        <f t="shared" si="0"/>
        <v>25478.881951518222</v>
      </c>
      <c r="H12" s="7">
        <f t="shared" si="4"/>
        <v>4.5</v>
      </c>
    </row>
    <row r="13" spans="2:10" x14ac:dyDescent="0.3">
      <c r="B13" s="17">
        <v>6</v>
      </c>
      <c r="C13" s="1">
        <v>0.6</v>
      </c>
      <c r="D13" s="5">
        <f t="shared" si="1"/>
        <v>6.128768396468498E-2</v>
      </c>
      <c r="E13" s="6">
        <f t="shared" si="2"/>
        <v>7.0415105089239169</v>
      </c>
      <c r="F13" s="8">
        <f t="shared" si="3"/>
        <v>3.0415105089239169</v>
      </c>
      <c r="G13" s="6">
        <f t="shared" si="0"/>
        <v>21302.412732886471</v>
      </c>
      <c r="H13" s="7">
        <f t="shared" si="4"/>
        <v>5.3999999999999995</v>
      </c>
    </row>
    <row r="14" spans="2:10" x14ac:dyDescent="0.3">
      <c r="B14" s="17">
        <v>7</v>
      </c>
      <c r="C14" s="1">
        <v>0.7</v>
      </c>
      <c r="D14" s="5">
        <f t="shared" si="1"/>
        <v>5.2637231580932538E-2</v>
      </c>
      <c r="E14" s="6">
        <f t="shared" si="2"/>
        <v>6.0436290452612553</v>
      </c>
      <c r="F14" s="6">
        <f t="shared" si="3"/>
        <v>2.0436290452612553</v>
      </c>
      <c r="G14" s="6">
        <f t="shared" si="0"/>
        <v>18295.682912404776</v>
      </c>
      <c r="H14" s="7">
        <f t="shared" si="4"/>
        <v>6.3</v>
      </c>
    </row>
    <row r="15" spans="2:10" x14ac:dyDescent="0.3">
      <c r="B15" s="17">
        <v>8</v>
      </c>
      <c r="C15" s="1">
        <v>0.8</v>
      </c>
      <c r="D15" s="5">
        <f t="shared" si="1"/>
        <v>4.6117464143482514E-2</v>
      </c>
      <c r="E15" s="6">
        <f t="shared" si="2"/>
        <v>5.292764411365547</v>
      </c>
      <c r="F15" s="8">
        <f t="shared" si="3"/>
        <v>1.292764411365547</v>
      </c>
      <c r="G15" s="6">
        <f t="shared" si="0"/>
        <v>16029.537940194323</v>
      </c>
      <c r="H15" s="7">
        <f t="shared" si="4"/>
        <v>7.2</v>
      </c>
    </row>
    <row r="16" spans="2:10" x14ac:dyDescent="0.3">
      <c r="B16" s="17">
        <v>9</v>
      </c>
      <c r="C16" s="1">
        <v>0.9</v>
      </c>
      <c r="D16" s="5">
        <f t="shared" si="1"/>
        <v>4.1029917668989044E-2</v>
      </c>
      <c r="E16" s="6">
        <f t="shared" si="2"/>
        <v>4.7074834707666149</v>
      </c>
      <c r="F16" s="6">
        <f t="shared" si="3"/>
        <v>0.70748347076661489</v>
      </c>
      <c r="G16" s="6">
        <f t="shared" si="0"/>
        <v>14261.205254301836</v>
      </c>
      <c r="H16" s="7">
        <f t="shared" si="4"/>
        <v>8.1</v>
      </c>
    </row>
    <row r="17" spans="2:8" x14ac:dyDescent="0.3">
      <c r="B17" s="17">
        <v>10</v>
      </c>
      <c r="C17" s="1">
        <v>1</v>
      </c>
      <c r="D17" s="5">
        <f t="shared" si="1"/>
        <v>3.6950552372453836E-2</v>
      </c>
      <c r="E17" s="6">
        <f t="shared" si="2"/>
        <v>4.2385435600093189</v>
      </c>
      <c r="F17" s="10">
        <f t="shared" si="3"/>
        <v>0.23854356000931887</v>
      </c>
      <c r="G17" s="6">
        <f t="shared" si="0"/>
        <v>12843.296832683551</v>
      </c>
      <c r="H17" s="7">
        <f t="shared" si="4"/>
        <v>9</v>
      </c>
    </row>
  </sheetData>
  <mergeCells count="8">
    <mergeCell ref="F4:H4"/>
    <mergeCell ref="F5:H5"/>
    <mergeCell ref="F2:H2"/>
    <mergeCell ref="F3:H3"/>
    <mergeCell ref="B2:D2"/>
    <mergeCell ref="B3:D3"/>
    <mergeCell ref="B4:D4"/>
    <mergeCell ref="B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Ahmed</dc:creator>
  <cp:lastModifiedBy>Hussain Ahmed</cp:lastModifiedBy>
  <dcterms:created xsi:type="dcterms:W3CDTF">2015-06-05T18:17:20Z</dcterms:created>
  <dcterms:modified xsi:type="dcterms:W3CDTF">2024-06-02T18:18:33Z</dcterms:modified>
</cp:coreProperties>
</file>